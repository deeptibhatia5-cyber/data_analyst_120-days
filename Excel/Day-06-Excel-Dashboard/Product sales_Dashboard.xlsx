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8e8a42c8ecb03029/Documents/"/>
    </mc:Choice>
  </mc:AlternateContent>
  <xr:revisionPtr revIDLastSave="0" documentId="8_{460FE32C-1838-453A-AE4D-04B150EFF90D}" xr6:coauthVersionLast="47" xr6:coauthVersionMax="47" xr10:uidLastSave="{00000000-0000-0000-0000-000000000000}"/>
  <bookViews>
    <workbookView xWindow="-108" yWindow="-108" windowWidth="23256" windowHeight="12456" activeTab="2" xr2:uid="{443E70DE-50F3-4B0C-B922-30CEE203EC6D}"/>
  </bookViews>
  <sheets>
    <sheet name="Detail1" sheetId="3" r:id="rId1"/>
    <sheet name="product" sheetId="1" r:id="rId2"/>
    <sheet name="Dashboard" sheetId="4" r:id="rId3"/>
  </sheets>
  <definedNames>
    <definedName name="Slicer_Category">#N/A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F5" i="4"/>
  <c r="J5" i="4"/>
  <c r="I5" i="4"/>
  <c r="H5" i="4"/>
  <c r="G5" i="4"/>
  <c r="F4" i="1"/>
  <c r="F5" i="1"/>
  <c r="F6" i="1"/>
  <c r="F7" i="1"/>
  <c r="F8" i="1"/>
  <c r="F9" i="1"/>
  <c r="F10" i="1"/>
  <c r="F11" i="1"/>
  <c r="F12" i="1"/>
  <c r="F13" i="1"/>
  <c r="F14" i="1"/>
  <c r="F15" i="1"/>
  <c r="F16" i="1"/>
</calcChain>
</file>

<file path=xl/sharedStrings.xml><?xml version="1.0" encoding="utf-8"?>
<sst xmlns="http://schemas.openxmlformats.org/spreadsheetml/2006/main" count="77" uniqueCount="36">
  <si>
    <t>Product_id</t>
  </si>
  <si>
    <t>Product_name</t>
  </si>
  <si>
    <t>Category</t>
  </si>
  <si>
    <t>Price</t>
  </si>
  <si>
    <t>Stock Quantity</t>
  </si>
  <si>
    <t>Widget A</t>
  </si>
  <si>
    <t>Widget B</t>
  </si>
  <si>
    <t>Widget C</t>
  </si>
  <si>
    <t>GADGET A</t>
  </si>
  <si>
    <t>GADGET B</t>
  </si>
  <si>
    <t>GADGET C</t>
  </si>
  <si>
    <t>GADGET D</t>
  </si>
  <si>
    <t>GADGET E</t>
  </si>
  <si>
    <t>TOOLS A</t>
  </si>
  <si>
    <t>TOOLS B</t>
  </si>
  <si>
    <t>APPLIANCES A</t>
  </si>
  <si>
    <t>APPLIANCES B</t>
  </si>
  <si>
    <t>APPLIANCES C</t>
  </si>
  <si>
    <t>ELECTRONICS</t>
  </si>
  <si>
    <t>HOMEGUARD</t>
  </si>
  <si>
    <t>TOOLS</t>
  </si>
  <si>
    <t>APPLIANCES</t>
  </si>
  <si>
    <t>Score</t>
  </si>
  <si>
    <t>Row Labels</t>
  </si>
  <si>
    <t>Grand Total</t>
  </si>
  <si>
    <t>Sum of Stock Quantity</t>
  </si>
  <si>
    <t>Details for Average of Price2 - Category: ELECTRONICS</t>
  </si>
  <si>
    <t>Total Product</t>
  </si>
  <si>
    <t>Total stock</t>
  </si>
  <si>
    <t>Average Price</t>
  </si>
  <si>
    <t>Highest Price</t>
  </si>
  <si>
    <t>Lowest Price</t>
  </si>
  <si>
    <t>Average Score</t>
  </si>
  <si>
    <t>Average of Price</t>
  </si>
  <si>
    <t>Count of Product_id</t>
  </si>
  <si>
    <t xml:space="preserve">       PRODUCT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</si>
</sst>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8"/>
      <color theme="1"/>
      <name val="Aptos Narrow"/>
      <family val="2"/>
      <scheme val="minor"/>
    </font>
    <font>
      <sz val="18"/>
      <color theme="1"/>
      <name val="Aptos Narrow"/>
      <family val="2"/>
      <scheme val="minor"/>
    </font>
    <font>
      <sz val="24"/>
      <color theme="1"/>
      <name val="Arial Black"/>
      <family val="2"/>
    </font>
    <font>
      <b/>
      <sz val="28"/>
      <color rgb="FFFF0000"/>
      <name val="Arial Black"/>
      <family val="2"/>
    </font>
    <font>
      <b/>
      <sz val="24"/>
      <color theme="3" tint="0.499984740745262"/>
      <name val="Bahnschrift Condensed"/>
      <family val="2"/>
    </font>
  </fonts>
  <fills count="4">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3" fillId="0" borderId="1" xfId="0" pivotButton="1" applyFont="1" applyBorder="1"/>
    <xf numFmtId="0" fontId="3" fillId="0" borderId="1" xfId="0" applyFont="1" applyBorder="1"/>
    <xf numFmtId="0" fontId="3" fillId="0" borderId="1" xfId="0" applyFont="1" applyBorder="1" applyAlignment="1">
      <alignment horizontal="left"/>
    </xf>
    <xf numFmtId="0" fontId="0" fillId="0" borderId="0" xfId="0" applyAlignment="1">
      <alignment vertical="center"/>
    </xf>
    <xf numFmtId="0" fontId="4" fillId="3" borderId="1" xfId="0" applyFont="1" applyFill="1" applyBorder="1" applyAlignment="1">
      <alignment horizontal="center"/>
    </xf>
    <xf numFmtId="2" fontId="4" fillId="3" borderId="1" xfId="0" applyNumberFormat="1" applyFont="1" applyFill="1" applyBorder="1" applyAlignment="1">
      <alignment horizontal="center"/>
    </xf>
    <xf numFmtId="0" fontId="5" fillId="0" borderId="0" xfId="0" applyFont="1" applyAlignment="1">
      <alignment horizontal="center" vertical="center"/>
    </xf>
    <xf numFmtId="0" fontId="6" fillId="2" borderId="1" xfId="0" applyFont="1" applyFill="1" applyBorder="1" applyAlignment="1">
      <alignment horizontal="center" wrapText="1"/>
    </xf>
  </cellXfs>
  <cellStyles count="1">
    <cellStyle name="Normal" xfId="0" builtinId="0"/>
  </cellStyles>
  <dxfs count="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font>
        <sz val="18"/>
      </font>
    </dxf>
    <dxf>
      <font>
        <sz val="18"/>
      </font>
    </dxf>
    <dxf>
      <font>
        <sz val="18"/>
      </font>
    </dxf>
    <dxf>
      <font>
        <sz val="18"/>
      </font>
    </dxf>
    <dxf>
      <font>
        <sz val="18"/>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strike val="0"/>
        <outline val="0"/>
        <shadow val="0"/>
        <u val="none"/>
        <vertAlign val="baseline"/>
        <sz val="18"/>
        <color theme="1"/>
        <name val="Aptos Narrow"/>
        <family val="2"/>
        <scheme val="minor"/>
      </font>
      <numFmt numFmtId="0" formatCode="General"/>
    </dxf>
    <dxf>
      <font>
        <strike val="0"/>
        <outline val="0"/>
        <shadow val="0"/>
        <u val="none"/>
        <vertAlign val="baseline"/>
        <sz val="18"/>
        <color theme="1"/>
        <name val="Aptos Narrow"/>
        <family val="2"/>
        <scheme val="minor"/>
      </font>
    </dxf>
    <dxf>
      <font>
        <strike val="0"/>
        <outline val="0"/>
        <shadow val="0"/>
        <u val="none"/>
        <vertAlign val="baseline"/>
        <sz val="18"/>
        <color theme="1"/>
        <name val="Aptos Narrow"/>
        <family val="2"/>
        <scheme val="minor"/>
      </font>
    </dxf>
    <dxf>
      <font>
        <strike val="0"/>
        <outline val="0"/>
        <shadow val="0"/>
        <u val="none"/>
        <vertAlign val="baseline"/>
        <sz val="18"/>
        <color theme="1"/>
        <name val="Aptos Narrow"/>
        <family val="2"/>
        <scheme val="minor"/>
      </font>
    </dxf>
    <dxf>
      <font>
        <strike val="0"/>
        <outline val="0"/>
        <shadow val="0"/>
        <u val="none"/>
        <vertAlign val="baseline"/>
        <sz val="18"/>
        <color theme="1"/>
        <name val="Aptos Narrow"/>
        <family val="2"/>
        <scheme val="minor"/>
      </font>
    </dxf>
    <dxf>
      <font>
        <strike val="0"/>
        <outline val="0"/>
        <shadow val="0"/>
        <u val="none"/>
        <vertAlign val="baseline"/>
        <sz val="18"/>
        <color theme="1"/>
        <name val="Aptos Narrow"/>
        <family val="2"/>
        <scheme val="minor"/>
      </font>
    </dxf>
    <dxf>
      <font>
        <strike val="0"/>
        <outline val="0"/>
        <shadow val="0"/>
        <u val="none"/>
        <vertAlign val="baseline"/>
        <sz val="18"/>
        <color theme="1"/>
        <name val="Aptos Narrow"/>
        <family val="2"/>
        <scheme val="minor"/>
      </font>
    </dxf>
    <dxf>
      <font>
        <b/>
        <i val="0"/>
        <strike val="0"/>
        <condense val="0"/>
        <extend val="0"/>
        <outline val="0"/>
        <shadow val="0"/>
        <u val="none"/>
        <vertAlign val="baseline"/>
        <sz val="18"/>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sales_Dashboard.xlsx]product!PivotTable1</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IN">
                <a:solidFill>
                  <a:schemeClr val="tx2"/>
                </a:solidFill>
              </a:rPr>
              <a:t>Stock</a:t>
            </a:r>
            <a:r>
              <a:rPr lang="en-IN" baseline="0">
                <a:solidFill>
                  <a:schemeClr val="tx2"/>
                </a:solidFill>
              </a:rPr>
              <a:t> Quantity by Category</a:t>
            </a:r>
            <a:endParaRPr lang="en-IN">
              <a:solidFill>
                <a:schemeClr val="tx2"/>
              </a:solidFill>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product!$N$4</c:f>
              <c:strCache>
                <c:ptCount val="1"/>
                <c:pt idx="0">
                  <c:v>Total</c:v>
                </c:pt>
              </c:strCache>
            </c:strRef>
          </c:tx>
          <c:spPr>
            <a:solidFill>
              <a:schemeClr val="accent1"/>
            </a:solidFill>
            <a:ln>
              <a:noFill/>
            </a:ln>
            <a:effectLst/>
          </c:spPr>
          <c:invertIfNegative val="0"/>
          <c:cat>
            <c:strRef>
              <c:f>product!$M$5:$M$9</c:f>
              <c:strCache>
                <c:ptCount val="4"/>
                <c:pt idx="0">
                  <c:v>APPLIANCES</c:v>
                </c:pt>
                <c:pt idx="1">
                  <c:v>ELECTRONICS</c:v>
                </c:pt>
                <c:pt idx="2">
                  <c:v>HOMEGUARD</c:v>
                </c:pt>
                <c:pt idx="3">
                  <c:v>TOOLS</c:v>
                </c:pt>
              </c:strCache>
            </c:strRef>
          </c:cat>
          <c:val>
            <c:numRef>
              <c:f>product!$N$5:$N$9</c:f>
              <c:numCache>
                <c:formatCode>General</c:formatCode>
                <c:ptCount val="4"/>
                <c:pt idx="0">
                  <c:v>37</c:v>
                </c:pt>
                <c:pt idx="1">
                  <c:v>104</c:v>
                </c:pt>
                <c:pt idx="2">
                  <c:v>42</c:v>
                </c:pt>
                <c:pt idx="3">
                  <c:v>144</c:v>
                </c:pt>
              </c:numCache>
            </c:numRef>
          </c:val>
          <c:extLst>
            <c:ext xmlns:c16="http://schemas.microsoft.com/office/drawing/2014/chart" uri="{C3380CC4-5D6E-409C-BE32-E72D297353CC}">
              <c16:uniqueId val="{00000000-A115-489C-A738-CD089D154947}"/>
            </c:ext>
          </c:extLst>
        </c:ser>
        <c:dLbls>
          <c:showLegendKey val="0"/>
          <c:showVal val="0"/>
          <c:showCatName val="0"/>
          <c:showSerName val="0"/>
          <c:showPercent val="0"/>
          <c:showBubbleSize val="0"/>
        </c:dLbls>
        <c:gapWidth val="150"/>
        <c:overlap val="100"/>
        <c:axId val="394160543"/>
        <c:axId val="75463247"/>
      </c:barChart>
      <c:catAx>
        <c:axId val="39416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247"/>
        <c:crosses val="autoZero"/>
        <c:auto val="1"/>
        <c:lblAlgn val="ctr"/>
        <c:lblOffset val="100"/>
        <c:noMultiLvlLbl val="0"/>
      </c:catAx>
      <c:valAx>
        <c:axId val="7546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6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sales_Dashboard.xlsx]product!PivotTable2</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by Category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solidFill>
            <a:schemeClr val="accent5">
              <a:lumMod val="60000"/>
              <a:lumOff val="40000"/>
            </a:schemeClr>
          </a:solidFill>
        </a:ln>
        <a:effectLst/>
        <a:sp3d>
          <a:contourClr>
            <a:schemeClr val="accent5">
              <a:lumMod val="60000"/>
              <a:lumOff val="40000"/>
            </a:schemeClr>
          </a:contourClr>
        </a:sp3d>
      </c:spPr>
    </c:sideWall>
    <c:backWall>
      <c:thickness val="0"/>
      <c:spPr>
        <a:solidFill>
          <a:schemeClr val="bg1"/>
        </a:solidFill>
        <a:ln>
          <a:solidFill>
            <a:schemeClr val="accent5">
              <a:lumMod val="60000"/>
              <a:lumOff val="40000"/>
            </a:schemeClr>
          </a:solidFill>
        </a:ln>
        <a:effectLst/>
        <a:sp3d>
          <a:contourClr>
            <a:schemeClr val="accent5">
              <a:lumMod val="60000"/>
              <a:lumOff val="40000"/>
            </a:schemeClr>
          </a:contourClr>
        </a:sp3d>
      </c:spPr>
    </c:backWall>
    <c:plotArea>
      <c:layout/>
      <c:bar3DChart>
        <c:barDir val="bar"/>
        <c:grouping val="clustered"/>
        <c:varyColors val="0"/>
        <c:ser>
          <c:idx val="0"/>
          <c:order val="0"/>
          <c:tx>
            <c:strRef>
              <c:f>product!$N$13</c:f>
              <c:strCache>
                <c:ptCount val="1"/>
                <c:pt idx="0">
                  <c:v>Total</c:v>
                </c:pt>
              </c:strCache>
            </c:strRef>
          </c:tx>
          <c:spPr>
            <a:solidFill>
              <a:schemeClr val="accent6"/>
            </a:solidFill>
            <a:ln>
              <a:noFill/>
            </a:ln>
            <a:effectLst/>
            <a:sp3d/>
          </c:spPr>
          <c:invertIfNegative val="0"/>
          <c:cat>
            <c:strRef>
              <c:f>product!$M$14:$M$18</c:f>
              <c:strCache>
                <c:ptCount val="4"/>
                <c:pt idx="0">
                  <c:v>APPLIANCES</c:v>
                </c:pt>
                <c:pt idx="1">
                  <c:v>ELECTRONICS</c:v>
                </c:pt>
                <c:pt idx="2">
                  <c:v>HOMEGUARD</c:v>
                </c:pt>
                <c:pt idx="3">
                  <c:v>TOOLS</c:v>
                </c:pt>
              </c:strCache>
            </c:strRef>
          </c:cat>
          <c:val>
            <c:numRef>
              <c:f>product!$N$14:$N$18</c:f>
              <c:numCache>
                <c:formatCode>General</c:formatCode>
                <c:ptCount val="4"/>
                <c:pt idx="0">
                  <c:v>166.5</c:v>
                </c:pt>
                <c:pt idx="1">
                  <c:v>148.5</c:v>
                </c:pt>
                <c:pt idx="2">
                  <c:v>68.5</c:v>
                </c:pt>
                <c:pt idx="3">
                  <c:v>142.4</c:v>
                </c:pt>
              </c:numCache>
            </c:numRef>
          </c:val>
          <c:extLst>
            <c:ext xmlns:c16="http://schemas.microsoft.com/office/drawing/2014/chart" uri="{C3380CC4-5D6E-409C-BE32-E72D297353CC}">
              <c16:uniqueId val="{00000000-B0AC-446A-B46D-01D85E318761}"/>
            </c:ext>
          </c:extLst>
        </c:ser>
        <c:dLbls>
          <c:showLegendKey val="0"/>
          <c:showVal val="0"/>
          <c:showCatName val="0"/>
          <c:showSerName val="0"/>
          <c:showPercent val="0"/>
          <c:showBubbleSize val="0"/>
        </c:dLbls>
        <c:gapWidth val="150"/>
        <c:shape val="box"/>
        <c:axId val="449739199"/>
        <c:axId val="445462383"/>
        <c:axId val="0"/>
      </c:bar3DChart>
      <c:catAx>
        <c:axId val="44973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62383"/>
        <c:crosses val="autoZero"/>
        <c:auto val="1"/>
        <c:lblAlgn val="ctr"/>
        <c:lblOffset val="100"/>
        <c:noMultiLvlLbl val="0"/>
      </c:catAx>
      <c:valAx>
        <c:axId val="445462383"/>
        <c:scaling>
          <c:orientation val="minMax"/>
        </c:scaling>
        <c:delete val="0"/>
        <c:axPos val="b"/>
        <c:majorGridlines>
          <c:spPr>
            <a:ln w="9525" cap="flat" cmpd="sng" algn="ctr">
              <a:solidFill>
                <a:schemeClr val="accent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sales_Dashboard.xlsx]product!PivotTable3</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a:t>
            </a:r>
            <a:r>
              <a:rPr lang="en-US" baseline="0"/>
              <a:t> Distribution by Category</a:t>
            </a:r>
            <a:endParaRPr lang="en-US"/>
          </a:p>
        </c:rich>
      </c:tx>
      <c:layout>
        <c:manualLayout>
          <c:xMode val="edge"/>
          <c:yMode val="edge"/>
          <c:x val="0.23781403462964046"/>
          <c:y val="3.6065572606635711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manualLayout>
          <c:layoutTarget val="inner"/>
          <c:xMode val="edge"/>
          <c:yMode val="edge"/>
          <c:x val="0.22865933297196225"/>
          <c:y val="0.16178833809546009"/>
          <c:w val="0.38027162829053662"/>
          <c:h val="0.78782998100108137"/>
        </c:manualLayout>
      </c:layout>
      <c:pieChart>
        <c:varyColors val="1"/>
        <c:ser>
          <c:idx val="0"/>
          <c:order val="0"/>
          <c:tx>
            <c:strRef>
              <c:f>product!$P$13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B7A-4493-AAF7-BCBD8A29FC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B7A-4493-AAF7-BCBD8A29FC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B7A-4493-AAF7-BCBD8A29FC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B7A-4493-AAF7-BCBD8A29FC10}"/>
              </c:ext>
            </c:extLst>
          </c:dPt>
          <c:dLbls>
            <c:delete val="1"/>
          </c:dLbls>
          <c:cat>
            <c:strRef>
              <c:f>product!$O$14:$O$18</c:f>
              <c:strCache>
                <c:ptCount val="4"/>
                <c:pt idx="0">
                  <c:v>APPLIANCES</c:v>
                </c:pt>
                <c:pt idx="1">
                  <c:v>ELECTRONICS</c:v>
                </c:pt>
                <c:pt idx="2">
                  <c:v>HOMEGUARD</c:v>
                </c:pt>
                <c:pt idx="3">
                  <c:v>TOOLS</c:v>
                </c:pt>
              </c:strCache>
            </c:strRef>
          </c:cat>
          <c:val>
            <c:numRef>
              <c:f>product!$P$14:$P$18</c:f>
              <c:numCache>
                <c:formatCode>General</c:formatCode>
                <c:ptCount val="4"/>
                <c:pt idx="0">
                  <c:v>2</c:v>
                </c:pt>
                <c:pt idx="1">
                  <c:v>4</c:v>
                </c:pt>
                <c:pt idx="2">
                  <c:v>2</c:v>
                </c:pt>
                <c:pt idx="3">
                  <c:v>5</c:v>
                </c:pt>
              </c:numCache>
            </c:numRef>
          </c:val>
          <c:extLst>
            <c:ext xmlns:c16="http://schemas.microsoft.com/office/drawing/2014/chart" uri="{C3380CC4-5D6E-409C-BE32-E72D297353CC}">
              <c16:uniqueId val="{00000008-CB7A-4493-AAF7-BCBD8A29FC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7</xdr:row>
      <xdr:rowOff>161363</xdr:rowOff>
    </xdr:from>
    <xdr:to>
      <xdr:col>4</xdr:col>
      <xdr:colOff>1512455</xdr:colOff>
      <xdr:row>30</xdr:row>
      <xdr:rowOff>46181</xdr:rowOff>
    </xdr:to>
    <xdr:graphicFrame macro="">
      <xdr:nvGraphicFramePr>
        <xdr:cNvPr id="2" name="Chart 1">
          <a:extLst>
            <a:ext uri="{FF2B5EF4-FFF2-40B4-BE49-F238E27FC236}">
              <a16:creationId xmlns:a16="http://schemas.microsoft.com/office/drawing/2014/main" id="{064083D7-BB2E-4BC6-A450-D83838237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962347</xdr:colOff>
      <xdr:row>10</xdr:row>
      <xdr:rowOff>161635</xdr:rowOff>
    </xdr:from>
    <xdr:to>
      <xdr:col>8</xdr:col>
      <xdr:colOff>750455</xdr:colOff>
      <xdr:row>29</xdr:row>
      <xdr:rowOff>23091</xdr:rowOff>
    </xdr:to>
    <xdr:graphicFrame macro="">
      <xdr:nvGraphicFramePr>
        <xdr:cNvPr id="3" name="AVERAGE PRICE BY CATEGORY">
          <a:extLst>
            <a:ext uri="{FF2B5EF4-FFF2-40B4-BE49-F238E27FC236}">
              <a16:creationId xmlns:a16="http://schemas.microsoft.com/office/drawing/2014/main" id="{174FEE69-43D1-402B-A429-04A14C2B6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588276</xdr:colOff>
      <xdr:row>10</xdr:row>
      <xdr:rowOff>108799</xdr:rowOff>
    </xdr:from>
    <xdr:to>
      <xdr:col>14</xdr:col>
      <xdr:colOff>588276</xdr:colOff>
      <xdr:row>24</xdr:row>
      <xdr:rowOff>114976</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F6E2AC35-64C5-4E07-B1E3-EE2ABE419C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934003" y="3226072"/>
              <a:ext cx="1835728" cy="2592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25400</xdr:colOff>
      <xdr:row>11</xdr:row>
      <xdr:rowOff>92365</xdr:rowOff>
    </xdr:from>
    <xdr:to>
      <xdr:col>11</xdr:col>
      <xdr:colOff>230910</xdr:colOff>
      <xdr:row>27</xdr:row>
      <xdr:rowOff>161638</xdr:rowOff>
    </xdr:to>
    <xdr:graphicFrame macro="">
      <xdr:nvGraphicFramePr>
        <xdr:cNvPr id="8" name="Chart 7">
          <a:extLst>
            <a:ext uri="{FF2B5EF4-FFF2-40B4-BE49-F238E27FC236}">
              <a16:creationId xmlns:a16="http://schemas.microsoft.com/office/drawing/2014/main" id="{5E7578B8-2328-47C3-93B0-B1D4EB566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616954166668" createdVersion="8" refreshedVersion="8" minRefreshableVersion="3" recordCount="13" xr:uid="{8D16FC25-B192-4CDD-8C65-5B7899825822}">
  <cacheSource type="worksheet">
    <worksheetSource name="Table1"/>
  </cacheSource>
  <cacheFields count="6">
    <cacheField name="Product_id" numFmtId="0">
      <sharedItems containsSemiMixedTypes="0" containsString="0" containsNumber="1" containsInteger="1" minValue="101" maxValue="113"/>
    </cacheField>
    <cacheField name="Product_name" numFmtId="0">
      <sharedItems/>
    </cacheField>
    <cacheField name="Category" numFmtId="0">
      <sharedItems count="4">
        <s v="ELECTRONICS"/>
        <s v="HOMEGUARD"/>
        <s v="TOOLS"/>
        <s v="APPLIANCES"/>
      </sharedItems>
    </cacheField>
    <cacheField name="Price" numFmtId="0">
      <sharedItems containsSemiMixedTypes="0" containsString="0" containsNumber="1" containsInteger="1" minValue="58" maxValue="234"/>
    </cacheField>
    <cacheField name="Stock Quantity" numFmtId="0">
      <sharedItems containsSemiMixedTypes="0" containsString="0" containsNumber="1" containsInteger="1" minValue="7" maxValue="47"/>
    </cacheField>
    <cacheField name="Score" numFmtId="0">
      <sharedItems containsSemiMixedTypes="0" containsString="0" containsNumber="1" minValue="0.5" maxValue="2.5"/>
    </cacheField>
  </cacheFields>
  <extLst>
    <ext xmlns:x14="http://schemas.microsoft.com/office/spreadsheetml/2009/9/main" uri="{725AE2AE-9491-48be-B2B4-4EB974FC3084}">
      <x14:pivotCacheDefinition pivotCacheId="385436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01"/>
    <s v="Widget A"/>
    <x v="0"/>
    <n v="216"/>
    <n v="30"/>
    <n v="2"/>
  </r>
  <r>
    <n v="102"/>
    <s v="Widget B"/>
    <x v="0"/>
    <n v="132"/>
    <n v="34"/>
    <n v="2"/>
  </r>
  <r>
    <n v="103"/>
    <s v="Widget C"/>
    <x v="1"/>
    <n v="77"/>
    <n v="32"/>
    <n v="2"/>
  </r>
  <r>
    <n v="104"/>
    <s v="GADGET A"/>
    <x v="1"/>
    <n v="60"/>
    <n v="10"/>
    <n v="1"/>
  </r>
  <r>
    <n v="105"/>
    <s v="GADGET B"/>
    <x v="2"/>
    <n v="118"/>
    <n v="47"/>
    <n v="2.5"/>
  </r>
  <r>
    <n v="106"/>
    <s v="GADGET C"/>
    <x v="2"/>
    <n v="58"/>
    <n v="15"/>
    <n v="1"/>
  </r>
  <r>
    <n v="107"/>
    <s v="GADGET D"/>
    <x v="3"/>
    <n v="112"/>
    <n v="22"/>
    <n v="1.5"/>
  </r>
  <r>
    <n v="108"/>
    <s v="GADGET E"/>
    <x v="3"/>
    <n v="221"/>
    <n v="15"/>
    <n v="1"/>
  </r>
  <r>
    <n v="109"/>
    <s v="TOOLS A"/>
    <x v="2"/>
    <n v="234"/>
    <n v="38"/>
    <n v="2"/>
  </r>
  <r>
    <n v="110"/>
    <s v="TOOLS B"/>
    <x v="2"/>
    <n v="171"/>
    <n v="7"/>
    <n v="0.5"/>
  </r>
  <r>
    <n v="111"/>
    <s v="APPLIANCES A"/>
    <x v="2"/>
    <n v="131"/>
    <n v="37"/>
    <n v="2"/>
  </r>
  <r>
    <n v="112"/>
    <s v="APPLIANCES B"/>
    <x v="0"/>
    <n v="123"/>
    <n v="20"/>
    <n v="1.5"/>
  </r>
  <r>
    <n v="113"/>
    <s v="APPLIANCES C"/>
    <x v="0"/>
    <n v="123"/>
    <n v="2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4EC94-B3C0-4A1B-A382-F3D611268A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O13:P18" firstHeaderRow="1" firstDataRow="1" firstDataCol="1"/>
  <pivotFields count="6">
    <pivotField dataField="1" showAll="0"/>
    <pivotField showAll="0"/>
    <pivotField axis="axisRow" showAll="0">
      <items count="5">
        <item x="3"/>
        <item x="0"/>
        <item x="1"/>
        <item x="2"/>
        <item t="default"/>
      </items>
    </pivotField>
    <pivotField showAll="0"/>
    <pivotField showAll="0"/>
    <pivotField showAll="0"/>
  </pivotFields>
  <rowFields count="1">
    <field x="2"/>
  </rowFields>
  <rowItems count="5">
    <i>
      <x/>
    </i>
    <i>
      <x v="1"/>
    </i>
    <i>
      <x v="2"/>
    </i>
    <i>
      <x v="3"/>
    </i>
    <i t="grand">
      <x/>
    </i>
  </rowItems>
  <colItems count="1">
    <i/>
  </colItems>
  <dataFields count="1">
    <dataField name="Count of Product_id" fld="0" subtotal="count" baseField="2" baseItem="0"/>
  </dataFields>
  <formats count="8">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grandRow="1" outline="0" fieldPosition="0"/>
    </format>
    <format dxfId="4">
      <pivotArea type="all" dataOnly="0" outline="0" fieldPosition="0"/>
    </format>
    <format dxfId="5">
      <pivotArea outline="0" collapsedLevelsAreSubtotals="1" fieldPosition="0"/>
    </format>
    <format dxfId="6">
      <pivotArea field="2" type="button" dataOnly="0" labelOnly="1" outline="0" axis="axisRow" fieldPosition="0"/>
    </format>
    <format dxfId="7">
      <pivotArea dataOnly="0" labelOnly="1" grandRow="1" outline="0" fieldPosition="0"/>
    </format>
  </formats>
  <chartFormats count="8">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 chart="15" format="0"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CF5A9-0285-4D4B-A729-8F6218B1AC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13:N18" firstHeaderRow="1" firstDataRow="1" firstDataCol="1"/>
  <pivotFields count="6">
    <pivotField showAll="0"/>
    <pivotField showAll="0"/>
    <pivotField axis="axisRow" showAll="0">
      <items count="5">
        <item x="3"/>
        <item x="0"/>
        <item x="1"/>
        <item x="2"/>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Average of Price" fld="3" subtotal="average" baseField="2" baseItem="0"/>
  </dataFields>
  <formats count="8">
    <format dxfId="8">
      <pivotArea type="all" dataOnly="0" outline="0" fieldPosition="0"/>
    </format>
    <format dxfId="9">
      <pivotArea outline="0" collapsedLevelsAreSubtotals="1" fieldPosition="0"/>
    </format>
    <format dxfId="10">
      <pivotArea field="2" type="button" dataOnly="0" labelOnly="1" outline="0" axis="axisRow" fieldPosition="0"/>
    </format>
    <format dxfId="11">
      <pivotArea dataOnly="0" labelOnly="1" grandRow="1" outline="0" fieldPosition="0"/>
    </format>
    <format dxfId="12">
      <pivotArea type="all" dataOnly="0" outline="0" fieldPosition="0"/>
    </format>
    <format dxfId="13">
      <pivotArea outline="0" collapsedLevelsAreSubtotals="1" fieldPosition="0"/>
    </format>
    <format dxfId="14">
      <pivotArea field="2" type="button" dataOnly="0" labelOnly="1" outline="0" axis="axisRow" fieldPosition="0"/>
    </format>
    <format dxfId="15">
      <pivotArea dataOnly="0" labelOnly="1" grandRow="1" outline="0"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8E5E6-2FC4-4528-B406-22B02FD3BD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4:N9" firstHeaderRow="1" firstDataRow="1" firstDataCol="1"/>
  <pivotFields count="6">
    <pivotField showAll="0"/>
    <pivotField showAll="0"/>
    <pivotField axis="axisRow" showAll="0">
      <items count="5">
        <item x="3"/>
        <item x="0"/>
        <item x="1"/>
        <item x="2"/>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tock Quantity" fld="4" baseField="0" baseItem="0"/>
  </dataFields>
  <formats count="12">
    <format dxfId="16">
      <pivotArea type="all" dataOnly="0" outline="0" fieldPosition="0"/>
    </format>
    <format dxfId="17">
      <pivotArea outline="0" collapsedLevelsAreSubtotals="1" fieldPosition="0"/>
    </format>
    <format dxfId="18">
      <pivotArea field="2" type="button" dataOnly="0" labelOnly="1" outline="0" axis="axisRow" fieldPosition="0"/>
    </format>
    <format dxfId="19">
      <pivotArea dataOnly="0" labelOnly="1" fieldPosition="0">
        <references count="1">
          <reference field="2" count="0"/>
        </references>
      </pivotArea>
    </format>
    <format dxfId="20">
      <pivotArea dataOnly="0" labelOnly="1" grandRow="1" outline="0" fieldPosition="0"/>
    </format>
    <format dxfId="21">
      <pivotArea dataOnly="0" labelOnly="1" outline="0" fieldPosition="0">
        <references count="1">
          <reference field="4294967294" count="1">
            <x v="0"/>
          </reference>
        </references>
      </pivotArea>
    </format>
    <format dxfId="22">
      <pivotArea type="all" dataOnly="0" outline="0" fieldPosition="0"/>
    </format>
    <format dxfId="23">
      <pivotArea outline="0" collapsedLevelsAreSubtotals="1" fieldPosition="0"/>
    </format>
    <format dxfId="24">
      <pivotArea field="2" type="button" dataOnly="0" labelOnly="1" outline="0" axis="axisRow" fieldPosition="0"/>
    </format>
    <format dxfId="25">
      <pivotArea dataOnly="0" labelOnly="1" fieldPosition="0">
        <references count="1">
          <reference field="2" count="0"/>
        </references>
      </pivotArea>
    </format>
    <format dxfId="26">
      <pivotArea dataOnly="0" labelOnly="1" grandRow="1" outline="0" fieldPosition="0"/>
    </format>
    <format dxfId="27">
      <pivotArea dataOnly="0" labelOnly="1" outline="0" fieldPosition="0">
        <references count="1">
          <reference field="4294967294" count="1">
            <x v="0"/>
          </reference>
        </references>
      </pivotArea>
    </format>
  </formats>
  <chartFormats count="1">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1C6F95-A73E-418D-B371-B99FF0BABD6B}" sourceName="Category">
  <pivotTables>
    <pivotTable tabId="1" name="PivotTable1"/>
    <pivotTable tabId="1" name="PivotTable2"/>
    <pivotTable tabId="1" name="PivotTable3"/>
  </pivotTables>
  <data>
    <tabular pivotCacheId="38543637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7E42E5-9960-4B1D-8E8D-27CC7A2F2EA2}"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DDB447-8250-460C-89CA-EBED585003DF}" name="Table2" displayName="Table2" ref="A3:F7" totalsRowShown="0">
  <autoFilter ref="A3:F7" xr:uid="{B3DDB447-8250-460C-89CA-EBED585003DF}"/>
  <tableColumns count="6">
    <tableColumn id="1" xr3:uid="{D32D84C3-718A-4D72-9CD6-6C98BE1C45AD}" name="Product_id"/>
    <tableColumn id="2" xr3:uid="{B2563FEB-E4CB-4D9C-989E-A3EAC7289160}" name="Product_name"/>
    <tableColumn id="3" xr3:uid="{EE04CC8D-6EEF-4F5B-860E-0AF0D618F3A5}" name="Category"/>
    <tableColumn id="4" xr3:uid="{F1031010-5E7E-4AF0-8DB2-A5A200D4122B}" name="Price"/>
    <tableColumn id="5" xr3:uid="{3A1A41B4-A21F-48CE-BA2F-BA6F21F53159}" name="Stock Quantity"/>
    <tableColumn id="6" xr3:uid="{89667980-A78E-4CCA-BB89-F8F8EA6E61F7}" name="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198D9-C74F-4451-B37D-FAF1AAE38704}" name="Table1" displayName="Table1" ref="A3:F16" totalsRowShown="0" headerRowDxfId="39" dataDxfId="38">
  <autoFilter ref="A3:F16" xr:uid="{162198D9-C74F-4451-B37D-FAF1AAE38704}"/>
  <tableColumns count="6">
    <tableColumn id="1" xr3:uid="{336B34F6-B8FA-46D4-8A1A-12FBC30D8395}" name="Product_id" dataDxfId="37"/>
    <tableColumn id="2" xr3:uid="{3A08CEC2-85EE-4DDD-934A-47D0819CD68C}" name="Product_name" dataDxfId="36"/>
    <tableColumn id="3" xr3:uid="{9225F989-B7ED-43AA-9DB6-E3BAA4CB103D}" name="Category" dataDxfId="35"/>
    <tableColumn id="4" xr3:uid="{FD3565B5-BDB9-4928-B306-610ED3000267}" name="Price" dataDxfId="34"/>
    <tableColumn id="5" xr3:uid="{4E65F217-BCFF-4277-BC1D-F942B6078511}" name="Stock Quantity" dataDxfId="33"/>
    <tableColumn id="7" xr3:uid="{D9F024D1-6A9C-490B-9734-EF56E639D5D5}" name="Score" dataDxfId="32">
      <calculatedColumnFormula>_xlfn.XLOOKUP(Table1[[#This Row],[Stock Quantity]],Table3[Stock Quantity],Table3[Score], , -1,1)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45F0E5-A061-4546-B5EA-1BD2BBC377E2}" name="Table3" displayName="Table3" ref="H17:I28" totalsRowShown="0" headerRowDxfId="31" dataDxfId="30">
  <autoFilter ref="H17:I28" xr:uid="{9F45F0E5-A061-4546-B5EA-1BD2BBC377E2}"/>
  <tableColumns count="2">
    <tableColumn id="1" xr3:uid="{E8C86BA0-77CC-4C09-9A0B-9CDDCD4F8073}" name="Stock Quantity" dataDxfId="29"/>
    <tableColumn id="2" xr3:uid="{0840A113-7748-497B-8E95-CD1EDB0EE81B}" name="Score"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9B3E-9AFF-4FD7-AE4C-2F4DADA4FF3C}">
  <dimension ref="A1:F7"/>
  <sheetViews>
    <sheetView workbookViewId="0">
      <selection activeCell="A3" sqref="A3:F7"/>
    </sheetView>
  </sheetViews>
  <sheetFormatPr defaultRowHeight="14.4" x14ac:dyDescent="0.3"/>
  <cols>
    <col min="1" max="1" width="12.21875" bestFit="1" customWidth="1"/>
    <col min="2" max="2" width="15.33203125" bestFit="1" customWidth="1"/>
    <col min="3" max="3" width="12.44140625" bestFit="1" customWidth="1"/>
    <col min="4" max="4" width="9" bestFit="1" customWidth="1"/>
    <col min="5" max="5" width="15.5546875" bestFit="1" customWidth="1"/>
    <col min="6" max="6" width="9" bestFit="1" customWidth="1"/>
  </cols>
  <sheetData>
    <row r="1" spans="1:6" x14ac:dyDescent="0.3">
      <c r="A1" s="1" t="s">
        <v>26</v>
      </c>
    </row>
    <row r="3" spans="1:6" x14ac:dyDescent="0.3">
      <c r="A3" t="s">
        <v>0</v>
      </c>
      <c r="B3" t="s">
        <v>1</v>
      </c>
      <c r="C3" t="s">
        <v>2</v>
      </c>
      <c r="D3" t="s">
        <v>3</v>
      </c>
      <c r="E3" t="s">
        <v>4</v>
      </c>
      <c r="F3" t="s">
        <v>22</v>
      </c>
    </row>
    <row r="4" spans="1:6" x14ac:dyDescent="0.3">
      <c r="A4">
        <v>101</v>
      </c>
      <c r="B4" t="s">
        <v>5</v>
      </c>
      <c r="C4" t="s">
        <v>18</v>
      </c>
      <c r="D4">
        <v>216</v>
      </c>
      <c r="E4">
        <v>30</v>
      </c>
      <c r="F4">
        <v>2</v>
      </c>
    </row>
    <row r="5" spans="1:6" x14ac:dyDescent="0.3">
      <c r="A5">
        <v>102</v>
      </c>
      <c r="B5" t="s">
        <v>6</v>
      </c>
      <c r="C5" t="s">
        <v>18</v>
      </c>
      <c r="D5">
        <v>132</v>
      </c>
      <c r="E5">
        <v>34</v>
      </c>
      <c r="F5">
        <v>2</v>
      </c>
    </row>
    <row r="6" spans="1:6" x14ac:dyDescent="0.3">
      <c r="A6">
        <v>113</v>
      </c>
      <c r="B6" t="s">
        <v>17</v>
      </c>
      <c r="C6" t="s">
        <v>18</v>
      </c>
      <c r="D6">
        <v>123</v>
      </c>
      <c r="E6">
        <v>20</v>
      </c>
      <c r="F6">
        <v>1.5</v>
      </c>
    </row>
    <row r="7" spans="1:6" x14ac:dyDescent="0.3">
      <c r="A7">
        <v>112</v>
      </c>
      <c r="B7" t="s">
        <v>16</v>
      </c>
      <c r="C7" t="s">
        <v>18</v>
      </c>
      <c r="D7">
        <v>123</v>
      </c>
      <c r="E7">
        <v>20</v>
      </c>
      <c r="F7">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A7D6-CC47-4523-B319-59B3E53DE669}">
  <dimension ref="A3:P28"/>
  <sheetViews>
    <sheetView zoomScale="58" zoomScaleNormal="40" workbookViewId="0">
      <selection activeCell="C5" sqref="C5"/>
    </sheetView>
  </sheetViews>
  <sheetFormatPr defaultRowHeight="14.4" x14ac:dyDescent="0.3"/>
  <cols>
    <col min="1" max="1" width="9.44140625" customWidth="1"/>
    <col min="2" max="2" width="17.6640625" customWidth="1"/>
    <col min="3" max="3" width="20.21875" customWidth="1"/>
    <col min="4" max="4" width="13.6640625" customWidth="1"/>
    <col min="5" max="5" width="15.5546875" customWidth="1"/>
    <col min="6" max="6" width="10.5546875" customWidth="1"/>
    <col min="8" max="8" width="15.88671875" customWidth="1"/>
    <col min="9" max="10" width="10.5546875" customWidth="1"/>
    <col min="13" max="13" width="21.21875" bestFit="1" customWidth="1"/>
    <col min="14" max="15" width="32.33203125" bestFit="1" customWidth="1"/>
    <col min="16" max="16" width="24.6640625" bestFit="1" customWidth="1"/>
    <col min="17" max="17" width="32.33203125" bestFit="1" customWidth="1"/>
  </cols>
  <sheetData>
    <row r="3" spans="1:16" ht="23.4" x14ac:dyDescent="0.45">
      <c r="A3" s="2" t="s">
        <v>0</v>
      </c>
      <c r="B3" s="2" t="s">
        <v>1</v>
      </c>
      <c r="C3" s="2" t="s">
        <v>2</v>
      </c>
      <c r="D3" s="2" t="s">
        <v>3</v>
      </c>
      <c r="E3" s="2" t="s">
        <v>4</v>
      </c>
      <c r="F3" s="2" t="s">
        <v>22</v>
      </c>
    </row>
    <row r="4" spans="1:16" ht="23.4" x14ac:dyDescent="0.45">
      <c r="A4" s="3">
        <v>101</v>
      </c>
      <c r="B4" s="3" t="s">
        <v>5</v>
      </c>
      <c r="C4" s="3" t="s">
        <v>18</v>
      </c>
      <c r="D4" s="3">
        <v>216</v>
      </c>
      <c r="E4" s="3">
        <v>30</v>
      </c>
      <c r="F4" s="3">
        <f>_xlfn.XLOOKUP(Table1[[#This Row],[Stock Quantity]],Table3[Stock Quantity],Table3[Score], , -1,1)</f>
        <v>2</v>
      </c>
      <c r="M4" s="4" t="s">
        <v>23</v>
      </c>
      <c r="N4" s="5" t="s">
        <v>25</v>
      </c>
    </row>
    <row r="5" spans="1:16" ht="23.4" x14ac:dyDescent="0.45">
      <c r="A5" s="3">
        <v>102</v>
      </c>
      <c r="B5" s="3" t="s">
        <v>6</v>
      </c>
      <c r="C5" s="3" t="s">
        <v>18</v>
      </c>
      <c r="D5" s="3">
        <v>132</v>
      </c>
      <c r="E5" s="3">
        <v>34</v>
      </c>
      <c r="F5" s="3">
        <f>_xlfn.XLOOKUP(Table1[[#This Row],[Stock Quantity]],Table3[Stock Quantity],Table3[Score], , -1,1)</f>
        <v>2</v>
      </c>
      <c r="M5" s="6" t="s">
        <v>21</v>
      </c>
      <c r="N5" s="5">
        <v>37</v>
      </c>
    </row>
    <row r="6" spans="1:16" ht="23.4" x14ac:dyDescent="0.45">
      <c r="A6" s="3">
        <v>103</v>
      </c>
      <c r="B6" s="3" t="s">
        <v>7</v>
      </c>
      <c r="C6" s="3" t="s">
        <v>19</v>
      </c>
      <c r="D6" s="3">
        <v>77</v>
      </c>
      <c r="E6" s="3">
        <v>32</v>
      </c>
      <c r="F6" s="3">
        <f>_xlfn.XLOOKUP(Table1[[#This Row],[Stock Quantity]],Table3[Stock Quantity],Table3[Score], , -1,1)</f>
        <v>2</v>
      </c>
      <c r="M6" s="6" t="s">
        <v>18</v>
      </c>
      <c r="N6" s="5">
        <v>104</v>
      </c>
    </row>
    <row r="7" spans="1:16" ht="23.4" x14ac:dyDescent="0.45">
      <c r="A7" s="3">
        <v>104</v>
      </c>
      <c r="B7" s="3" t="s">
        <v>8</v>
      </c>
      <c r="C7" s="3" t="s">
        <v>19</v>
      </c>
      <c r="D7" s="3">
        <v>60</v>
      </c>
      <c r="E7" s="3">
        <v>10</v>
      </c>
      <c r="F7" s="3">
        <f>_xlfn.XLOOKUP(Table1[[#This Row],[Stock Quantity]],Table3[Stock Quantity],Table3[Score], , -1,1)</f>
        <v>1</v>
      </c>
      <c r="M7" s="6" t="s">
        <v>19</v>
      </c>
      <c r="N7" s="5">
        <v>42</v>
      </c>
    </row>
    <row r="8" spans="1:16" ht="23.4" x14ac:dyDescent="0.45">
      <c r="A8" s="3">
        <v>105</v>
      </c>
      <c r="B8" s="3" t="s">
        <v>9</v>
      </c>
      <c r="C8" s="3" t="s">
        <v>20</v>
      </c>
      <c r="D8" s="3">
        <v>118</v>
      </c>
      <c r="E8" s="3">
        <v>47</v>
      </c>
      <c r="F8" s="3">
        <f>_xlfn.XLOOKUP(Table1[[#This Row],[Stock Quantity]],Table3[Stock Quantity],Table3[Score], , -1,1)</f>
        <v>2.5</v>
      </c>
      <c r="M8" s="6" t="s">
        <v>20</v>
      </c>
      <c r="N8" s="5">
        <v>144</v>
      </c>
    </row>
    <row r="9" spans="1:16" ht="23.4" x14ac:dyDescent="0.45">
      <c r="A9" s="3">
        <v>106</v>
      </c>
      <c r="B9" s="3" t="s">
        <v>10</v>
      </c>
      <c r="C9" s="3" t="s">
        <v>20</v>
      </c>
      <c r="D9" s="3">
        <v>58</v>
      </c>
      <c r="E9" s="3">
        <v>15</v>
      </c>
      <c r="F9" s="3">
        <f>_xlfn.XLOOKUP(Table1[[#This Row],[Stock Quantity]],Table3[Stock Quantity],Table3[Score], , -1,1)</f>
        <v>1</v>
      </c>
      <c r="M9" s="6" t="s">
        <v>24</v>
      </c>
      <c r="N9" s="5">
        <v>327</v>
      </c>
    </row>
    <row r="10" spans="1:16" ht="23.4" x14ac:dyDescent="0.45">
      <c r="A10" s="3">
        <v>107</v>
      </c>
      <c r="B10" s="3" t="s">
        <v>11</v>
      </c>
      <c r="C10" s="3" t="s">
        <v>21</v>
      </c>
      <c r="D10" s="3">
        <v>112</v>
      </c>
      <c r="E10" s="3">
        <v>22</v>
      </c>
      <c r="F10" s="3">
        <f>_xlfn.XLOOKUP(Table1[[#This Row],[Stock Quantity]],Table3[Stock Quantity],Table3[Score], , -1,1)</f>
        <v>1.5</v>
      </c>
    </row>
    <row r="11" spans="1:16" ht="23.4" x14ac:dyDescent="0.45">
      <c r="A11" s="3">
        <v>108</v>
      </c>
      <c r="B11" s="3" t="s">
        <v>12</v>
      </c>
      <c r="C11" s="3" t="s">
        <v>21</v>
      </c>
      <c r="D11" s="3">
        <v>221</v>
      </c>
      <c r="E11" s="3">
        <v>15</v>
      </c>
      <c r="F11" s="3">
        <f>_xlfn.XLOOKUP(Table1[[#This Row],[Stock Quantity]],Table3[Stock Quantity],Table3[Score], , -1,1)</f>
        <v>1</v>
      </c>
    </row>
    <row r="12" spans="1:16" ht="23.4" x14ac:dyDescent="0.45">
      <c r="A12" s="3">
        <v>109</v>
      </c>
      <c r="B12" s="3" t="s">
        <v>13</v>
      </c>
      <c r="C12" s="3" t="s">
        <v>20</v>
      </c>
      <c r="D12" s="3">
        <v>234</v>
      </c>
      <c r="E12" s="3">
        <v>38</v>
      </c>
      <c r="F12" s="3">
        <f>_xlfn.XLOOKUP(Table1[[#This Row],[Stock Quantity]],Table3[Stock Quantity],Table3[Score], , -1,1)</f>
        <v>2</v>
      </c>
    </row>
    <row r="13" spans="1:16" ht="23.4" x14ac:dyDescent="0.45">
      <c r="A13" s="3">
        <v>110</v>
      </c>
      <c r="B13" s="3" t="s">
        <v>14</v>
      </c>
      <c r="C13" s="3" t="s">
        <v>20</v>
      </c>
      <c r="D13" s="3">
        <v>171</v>
      </c>
      <c r="E13" s="3">
        <v>7</v>
      </c>
      <c r="F13" s="3">
        <f>_xlfn.XLOOKUP(Table1[[#This Row],[Stock Quantity]],Table3[Stock Quantity],Table3[Score], , -1,1)</f>
        <v>0.5</v>
      </c>
      <c r="M13" s="4" t="s">
        <v>23</v>
      </c>
      <c r="N13" s="5" t="s">
        <v>33</v>
      </c>
      <c r="O13" s="4" t="s">
        <v>23</v>
      </c>
      <c r="P13" s="5" t="s">
        <v>34</v>
      </c>
    </row>
    <row r="14" spans="1:16" ht="23.4" x14ac:dyDescent="0.45">
      <c r="A14" s="3">
        <v>111</v>
      </c>
      <c r="B14" s="3" t="s">
        <v>15</v>
      </c>
      <c r="C14" s="3" t="s">
        <v>20</v>
      </c>
      <c r="D14" s="3">
        <v>131</v>
      </c>
      <c r="E14" s="3">
        <v>37</v>
      </c>
      <c r="F14" s="3">
        <f>_xlfn.XLOOKUP(Table1[[#This Row],[Stock Quantity]],Table3[Stock Quantity],Table3[Score], , -1,1)</f>
        <v>2</v>
      </c>
      <c r="M14" s="6" t="s">
        <v>21</v>
      </c>
      <c r="N14" s="5">
        <v>166.5</v>
      </c>
      <c r="O14" s="6" t="s">
        <v>21</v>
      </c>
      <c r="P14" s="5">
        <v>2</v>
      </c>
    </row>
    <row r="15" spans="1:16" ht="23.4" x14ac:dyDescent="0.45">
      <c r="A15" s="3">
        <v>112</v>
      </c>
      <c r="B15" s="3" t="s">
        <v>16</v>
      </c>
      <c r="C15" s="3" t="s">
        <v>18</v>
      </c>
      <c r="D15" s="3">
        <v>123</v>
      </c>
      <c r="E15" s="3">
        <v>20</v>
      </c>
      <c r="F15" s="3">
        <f>_xlfn.XLOOKUP(Table1[[#This Row],[Stock Quantity]],Table3[Stock Quantity],Table3[Score], , -1,1)</f>
        <v>1.5</v>
      </c>
      <c r="M15" s="6" t="s">
        <v>18</v>
      </c>
      <c r="N15" s="5">
        <v>148.5</v>
      </c>
      <c r="O15" s="6" t="s">
        <v>18</v>
      </c>
      <c r="P15" s="5">
        <v>4</v>
      </c>
    </row>
    <row r="16" spans="1:16" ht="23.4" x14ac:dyDescent="0.45">
      <c r="A16" s="3">
        <v>113</v>
      </c>
      <c r="B16" s="3" t="s">
        <v>17</v>
      </c>
      <c r="C16" s="3" t="s">
        <v>18</v>
      </c>
      <c r="D16" s="3">
        <v>123</v>
      </c>
      <c r="E16" s="3">
        <v>20</v>
      </c>
      <c r="F16" s="3">
        <f>_xlfn.XLOOKUP(Table1[[#This Row],[Stock Quantity]],Table3[Stock Quantity],Table3[Score], , -1,1)</f>
        <v>1.5</v>
      </c>
      <c r="M16" s="6" t="s">
        <v>19</v>
      </c>
      <c r="N16" s="5">
        <v>68.5</v>
      </c>
      <c r="O16" s="6" t="s">
        <v>19</v>
      </c>
      <c r="P16" s="5">
        <v>2</v>
      </c>
    </row>
    <row r="17" spans="8:16" ht="23.4" x14ac:dyDescent="0.45">
      <c r="H17" s="1" t="s">
        <v>4</v>
      </c>
      <c r="I17" s="1" t="s">
        <v>22</v>
      </c>
      <c r="J17" s="1"/>
      <c r="M17" s="6" t="s">
        <v>20</v>
      </c>
      <c r="N17" s="5">
        <v>142.4</v>
      </c>
      <c r="O17" s="6" t="s">
        <v>20</v>
      </c>
      <c r="P17" s="5">
        <v>5</v>
      </c>
    </row>
    <row r="18" spans="8:16" ht="23.4" x14ac:dyDescent="0.45">
      <c r="H18" s="1">
        <v>0</v>
      </c>
      <c r="I18" s="1">
        <v>0.5</v>
      </c>
      <c r="J18" s="1"/>
      <c r="M18" s="6" t="s">
        <v>24</v>
      </c>
      <c r="N18" s="5">
        <v>136.61538461538461</v>
      </c>
      <c r="O18" s="6" t="s">
        <v>24</v>
      </c>
      <c r="P18" s="5">
        <v>13</v>
      </c>
    </row>
    <row r="19" spans="8:16" x14ac:dyDescent="0.3">
      <c r="H19" s="1">
        <v>10</v>
      </c>
      <c r="I19" s="1">
        <v>1</v>
      </c>
    </row>
    <row r="20" spans="8:16" x14ac:dyDescent="0.3">
      <c r="H20" s="1">
        <v>20</v>
      </c>
      <c r="I20" s="1">
        <v>1.5</v>
      </c>
    </row>
    <row r="21" spans="8:16" x14ac:dyDescent="0.3">
      <c r="H21" s="1">
        <v>30</v>
      </c>
      <c r="I21" s="1">
        <v>2</v>
      </c>
    </row>
    <row r="22" spans="8:16" x14ac:dyDescent="0.3">
      <c r="H22" s="1">
        <v>40</v>
      </c>
      <c r="I22" s="1">
        <v>2.5</v>
      </c>
    </row>
    <row r="23" spans="8:16" x14ac:dyDescent="0.3">
      <c r="H23" s="1">
        <v>50</v>
      </c>
      <c r="I23" s="1">
        <v>3</v>
      </c>
    </row>
    <row r="24" spans="8:16" x14ac:dyDescent="0.3">
      <c r="H24" s="1">
        <v>60</v>
      </c>
      <c r="I24" s="1">
        <v>3.5</v>
      </c>
    </row>
    <row r="25" spans="8:16" x14ac:dyDescent="0.3">
      <c r="H25" s="1">
        <v>70</v>
      </c>
      <c r="I25" s="1">
        <v>4</v>
      </c>
    </row>
    <row r="26" spans="8:16" x14ac:dyDescent="0.3">
      <c r="H26" s="1">
        <v>80</v>
      </c>
      <c r="I26" s="1">
        <v>4.5</v>
      </c>
    </row>
    <row r="27" spans="8:16" x14ac:dyDescent="0.3">
      <c r="H27" s="1">
        <v>90</v>
      </c>
      <c r="I27" s="1">
        <v>5</v>
      </c>
    </row>
    <row r="28" spans="8:16" x14ac:dyDescent="0.3">
      <c r="H28" s="1">
        <v>100</v>
      </c>
      <c r="I28" s="1">
        <v>5.5</v>
      </c>
    </row>
  </sheetData>
  <pageMargins left="0.7" right="0.7" top="0.75" bottom="0.75" header="0.3" footer="0.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6B75-EB6E-4BCF-A68E-B88BEA660D1E}">
  <dimension ref="C2:N7"/>
  <sheetViews>
    <sheetView showGridLines="0" tabSelected="1" topLeftCell="A2" zoomScale="66" zoomScaleNormal="66" workbookViewId="0">
      <selection activeCell="D6" sqref="D6"/>
    </sheetView>
  </sheetViews>
  <sheetFormatPr defaultRowHeight="14.4" x14ac:dyDescent="0.3"/>
  <cols>
    <col min="3" max="3" width="19.109375" customWidth="1"/>
    <col min="4" max="4" width="34.21875" customWidth="1"/>
    <col min="5" max="5" width="24.6640625" bestFit="1" customWidth="1"/>
    <col min="6" max="6" width="28.109375" customWidth="1"/>
    <col min="7" max="7" width="23.33203125" bestFit="1" customWidth="1"/>
    <col min="8" max="8" width="25.88671875" bestFit="1" customWidth="1"/>
    <col min="9" max="9" width="24.21875" customWidth="1"/>
    <col min="10" max="10" width="42.21875" customWidth="1"/>
    <col min="11" max="11" width="27.5546875" customWidth="1"/>
  </cols>
  <sheetData>
    <row r="2" spans="3:14" ht="43.8" x14ac:dyDescent="0.3">
      <c r="C2" s="10" t="s">
        <v>35</v>
      </c>
      <c r="D2" s="10"/>
      <c r="E2" s="10"/>
      <c r="F2" s="10"/>
      <c r="G2" s="10"/>
      <c r="H2" s="10"/>
      <c r="I2" s="10"/>
      <c r="J2" s="10"/>
      <c r="K2" s="10"/>
      <c r="L2" s="10"/>
      <c r="M2" s="10"/>
      <c r="N2" s="10"/>
    </row>
    <row r="4" spans="3:14" ht="49.8" customHeight="1" x14ac:dyDescent="0.45">
      <c r="E4" s="11" t="s">
        <v>27</v>
      </c>
      <c r="F4" s="11" t="s">
        <v>28</v>
      </c>
      <c r="G4" s="11" t="s">
        <v>29</v>
      </c>
      <c r="H4" s="11" t="s">
        <v>30</v>
      </c>
      <c r="I4" s="11" t="s">
        <v>31</v>
      </c>
      <c r="J4" s="11" t="s">
        <v>32</v>
      </c>
    </row>
    <row r="5" spans="3:14" ht="49.95" customHeight="1" x14ac:dyDescent="0.85">
      <c r="E5" s="8">
        <f>COUNTA(Table1[Product_id])</f>
        <v>13</v>
      </c>
      <c r="F5" s="8">
        <f>SUM(Table1[Stock Quantity])</f>
        <v>327</v>
      </c>
      <c r="G5" s="9">
        <f>AVERAGE(Table1[Price])</f>
        <v>136.61538461538461</v>
      </c>
      <c r="H5" s="8">
        <f>MAX(Table1[Price])</f>
        <v>234</v>
      </c>
      <c r="I5" s="8">
        <f>MIN(Table1[Price])</f>
        <v>58</v>
      </c>
      <c r="J5" s="9">
        <f>AVERAGE(Table1[Score])</f>
        <v>1.5769230769230769</v>
      </c>
    </row>
    <row r="7" spans="3:14" x14ac:dyDescent="0.3">
      <c r="E7" s="7"/>
    </row>
  </sheetData>
  <mergeCells count="1">
    <mergeCell ref="C2:N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product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Gandhi</dc:creator>
  <cp:lastModifiedBy>Deepti Gandhi</cp:lastModifiedBy>
  <dcterms:created xsi:type="dcterms:W3CDTF">2026-07-04T07:29:58Z</dcterms:created>
  <dcterms:modified xsi:type="dcterms:W3CDTF">2026-07-04T18:40:43Z</dcterms:modified>
</cp:coreProperties>
</file>